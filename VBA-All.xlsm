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8d053aa8a0c5c2f/Desktop/"/>
    </mc:Choice>
  </mc:AlternateContent>
  <xr:revisionPtr revIDLastSave="759" documentId="13_ncr:1_{6AB0B65D-254D-4A08-A745-54BA7D401DC7}" xr6:coauthVersionLast="47" xr6:coauthVersionMax="47" xr10:uidLastSave="{A3CFADA9-93F3-4125-BDF2-0282D17391BA}"/>
  <bookViews>
    <workbookView xWindow="-98" yWindow="-98" windowWidth="23236" windowHeight="13875" xr2:uid="{8B0100EF-0F14-4196-82EF-A7CEA9C68D41}"/>
  </bookViews>
  <sheets>
    <sheet name="zPortable_Functions" sheetId="1" r:id="rId1"/>
    <sheet name="zPortable_Subs" sheetId="2" r:id="rId2"/>
    <sheet name="zRun_R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3" i="3" l="1" a="1"/>
  <c r="E10" i="3" a="1"/>
  <c r="E15" i="1" a="1"/>
  <c r="E17" i="1" a="1"/>
  <c r="E10" i="1" a="1"/>
  <c r="E8" i="1" a="1"/>
  <c r="E6" i="1" a="1"/>
  <c r="E12" i="1" a="1"/>
  <c r="E14" i="1" a="1"/>
  <c r="E16" i="1" a="1"/>
  <c r="E13" i="1" a="1"/>
  <c r="E9" i="1" a="1"/>
  <c r="E7" i="1" a="1"/>
  <c r="E11" i="1" a="1"/>
  <c r="E10" i="3" l="1"/>
  <c r="E9" i="1"/>
  <c r="E7" i="1"/>
  <c r="E13" i="1"/>
  <c r="E14" i="1"/>
  <c r="E6" i="1"/>
  <c r="E10" i="1"/>
  <c r="E15" i="1"/>
  <c r="E8" i="1"/>
  <c r="E17" i="1"/>
  <c r="E16" i="1"/>
  <c r="E12" i="1"/>
  <c r="E11" i="1"/>
  <c r="E13" i="3"/>
  <c r="E12" i="3" a="1"/>
  <c r="E11" i="3" a="1"/>
  <c r="E11" i="3" l="1"/>
  <c r="E1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<sst xmlns="http://schemas.openxmlformats.org/spreadsheetml/2006/main" count="114" uniqueCount="68">
  <si>
    <t>-&gt;</t>
  </si>
  <si>
    <t>=MyOS()</t>
  </si>
  <si>
    <t>=Get_WindowsUsername()</t>
  </si>
  <si>
    <t>Blue Font is Function</t>
  </si>
  <si>
    <t>Light Blue is VBA Only</t>
  </si>
  <si>
    <t>Light Red is VBA Output</t>
  </si>
  <si>
    <t>Blue Font is Sub</t>
  </si>
  <si>
    <t>Italics is Variable</t>
  </si>
  <si>
    <t>Launches links with error handling</t>
  </si>
  <si>
    <r>
      <t xml:space="preserve">Last element of </t>
    </r>
    <r>
      <rPr>
        <i/>
        <sz val="8"/>
        <color rgb="FFC00000"/>
        <rFont val="Courier New"/>
        <family val="3"/>
      </rPr>
      <t xml:space="preserve">aArr() </t>
    </r>
    <r>
      <rPr>
        <b/>
        <sz val="8"/>
        <color rgb="FFC00000"/>
        <rFont val="Courier New"/>
        <family val="3"/>
      </rPr>
      <t xml:space="preserve">now </t>
    </r>
    <r>
      <rPr>
        <i/>
        <sz val="8"/>
        <color rgb="FFC00000"/>
        <rFont val="Courier New"/>
        <family val="3"/>
      </rPr>
      <t>aVal</t>
    </r>
  </si>
  <si>
    <r>
      <t xml:space="preserve">Changes .NumberOfColumns on </t>
    </r>
    <r>
      <rPr>
        <i/>
        <sz val="8"/>
        <color rgb="FFC00000"/>
        <rFont val="Courier New"/>
        <family val="3"/>
      </rPr>
      <t xml:space="preserve">SlicerName </t>
    </r>
    <r>
      <rPr>
        <b/>
        <sz val="8"/>
        <color rgb="FFC00000"/>
        <rFont val="Courier New"/>
        <family val="3"/>
      </rPr>
      <t>(called within InsertSlicer)</t>
    </r>
  </si>
  <si>
    <t>Red Font is Output or Explanation</t>
  </si>
  <si>
    <t>Returns text from clipboard or copied range &gt;&gt; Use in VBA Only &lt;&lt;</t>
  </si>
  <si>
    <t>Returns an array of each non-blank cell copied &gt;&gt; Use in VBA Only &lt;&lt;</t>
  </si>
  <si>
    <t>Returns True if a range is currently copied &gt;&gt; Use in VBA Only &lt;&lt;</t>
  </si>
  <si>
    <r>
      <rPr>
        <sz val="8"/>
        <color rgb="FFD86060"/>
        <rFont val="Courier New"/>
        <family val="3"/>
      </rPr>
      <t>Debug.Print</t>
    </r>
    <r>
      <rPr>
        <sz val="8"/>
        <color rgb="FFE08080"/>
        <rFont val="Courier New"/>
        <family val="3"/>
      </rPr>
      <t>:</t>
    </r>
    <r>
      <rPr>
        <b/>
        <i/>
        <sz val="8"/>
        <color rgb="FFE08080"/>
        <rFont val="Courier New"/>
        <family val="3"/>
      </rPr>
      <t xml:space="preserve"> </t>
    </r>
    <r>
      <rPr>
        <b/>
        <sz val="8"/>
        <color rgb="FFE08080"/>
        <rFont val="Courier New"/>
        <family val="3"/>
      </rPr>
      <t>================== H:MM:SS AM/PM ==================</t>
    </r>
  </si>
  <si>
    <r>
      <t>ReDim_Add(</t>
    </r>
    <r>
      <rPr>
        <i/>
        <sz val="8"/>
        <color rgb="FF002060"/>
        <rFont val="Courier New"/>
        <family val="3"/>
      </rPr>
      <t>aArr(), aVal</t>
    </r>
    <r>
      <rPr>
        <b/>
        <sz val="8"/>
        <color rgb="FF002060"/>
        <rFont val="Courier New"/>
        <family val="3"/>
      </rPr>
      <t>)</t>
    </r>
  </si>
  <si>
    <r>
      <t xml:space="preserve">Moves </t>
    </r>
    <r>
      <rPr>
        <i/>
        <sz val="8"/>
        <color rgb="FFC00000"/>
        <rFont val="Courier New"/>
        <family val="3"/>
      </rPr>
      <t>SlicerSelection</t>
    </r>
    <r>
      <rPr>
        <b/>
        <sz val="8"/>
        <color rgb="FFC00000"/>
        <rFont val="Courier New"/>
        <family val="3"/>
      </rPr>
      <t xml:space="preserve"> to </t>
    </r>
    <r>
      <rPr>
        <i/>
        <sz val="8"/>
        <color rgb="FFC00000"/>
        <rFont val="Courier New"/>
        <family val="3"/>
      </rPr>
      <t>rngPaste</t>
    </r>
    <r>
      <rPr>
        <b/>
        <sz val="8"/>
        <color rgb="FFC00000"/>
        <rFont val="Courier New"/>
        <family val="3"/>
      </rPr>
      <t xml:space="preserve"> &amp; incrementally moves it </t>
    </r>
  </si>
  <si>
    <r>
      <t>=Tabs_MatchingCodeName(</t>
    </r>
    <r>
      <rPr>
        <i/>
        <sz val="8"/>
        <color rgb="FF002060"/>
        <rFont val="Courier New"/>
        <family val="3"/>
      </rPr>
      <t>"Portable", FALSE</t>
    </r>
    <r>
      <rPr>
        <b/>
        <sz val="8"/>
        <color rgb="FF002060"/>
        <rFont val="Courier New"/>
        <family val="3"/>
      </rPr>
      <t>)</t>
    </r>
  </si>
  <si>
    <r>
      <t>=WorksheetExists(</t>
    </r>
    <r>
      <rPr>
        <i/>
        <sz val="8"/>
        <color rgb="FF002060"/>
        <rFont val="Courier New"/>
        <family val="3"/>
      </rPr>
      <t>"zPortable_Functions"</t>
    </r>
    <r>
      <rPr>
        <b/>
        <sz val="8"/>
        <color rgb="FF002060"/>
        <rFont val="Courier New"/>
        <family val="3"/>
      </rPr>
      <t>)</t>
    </r>
  </si>
  <si>
    <r>
      <t>=ExtractFirstInt_RightToLeft(</t>
    </r>
    <r>
      <rPr>
        <i/>
        <sz val="8"/>
        <color rgb="FF002060"/>
        <rFont val="Courier New"/>
        <family val="3"/>
      </rPr>
      <t>"Some12Embedded345Num"</t>
    </r>
    <r>
      <rPr>
        <b/>
        <sz val="8"/>
        <color rgb="FF002060"/>
        <rFont val="Courier New"/>
        <family val="3"/>
      </rPr>
      <t>)</t>
    </r>
  </si>
  <si>
    <r>
      <t>=ExtractFirstInt_LeftToRight(</t>
    </r>
    <r>
      <rPr>
        <i/>
        <sz val="8"/>
        <color rgb="FF002060"/>
        <rFont val="Courier New"/>
        <family val="3"/>
      </rPr>
      <t>"Some12Embedded345Num"</t>
    </r>
    <r>
      <rPr>
        <b/>
        <sz val="8"/>
        <color rgb="FF002060"/>
        <rFont val="Courier New"/>
        <family val="3"/>
      </rPr>
      <t>)</t>
    </r>
  </si>
  <si>
    <r>
      <t>=Truncate_Before_Int(</t>
    </r>
    <r>
      <rPr>
        <i/>
        <sz val="8"/>
        <color rgb="FF002060"/>
        <rFont val="Courier New"/>
        <family val="3"/>
      </rPr>
      <t>"Some12Embedded345Num"</t>
    </r>
    <r>
      <rPr>
        <b/>
        <sz val="8"/>
        <color rgb="FF002060"/>
        <rFont val="Courier New"/>
        <family val="3"/>
      </rPr>
      <t>)</t>
    </r>
  </si>
  <si>
    <r>
      <t>=Truncate_After_Int(</t>
    </r>
    <r>
      <rPr>
        <i/>
        <sz val="8"/>
        <color rgb="FF002060"/>
        <rFont val="Courier New"/>
        <family val="3"/>
      </rPr>
      <t>"Some12Embedded345Num"</t>
    </r>
    <r>
      <rPr>
        <b/>
        <sz val="8"/>
        <color rgb="FF002060"/>
        <rFont val="Courier New"/>
        <family val="3"/>
      </rPr>
      <t>)</t>
    </r>
  </si>
  <si>
    <r>
      <t>=IsInt_NoTrailingSymbols(</t>
    </r>
    <r>
      <rPr>
        <b/>
        <i/>
        <sz val="8"/>
        <color rgb="FF002060"/>
        <rFont val="Courier New"/>
        <family val="3"/>
      </rPr>
      <t>"</t>
    </r>
    <r>
      <rPr>
        <i/>
        <sz val="8"/>
        <color rgb="FF002060"/>
        <rFont val="Courier New"/>
        <family val="3"/>
      </rPr>
      <t>9999,"</t>
    </r>
    <r>
      <rPr>
        <b/>
        <sz val="8"/>
        <color rgb="FF002060"/>
        <rFont val="Courier New"/>
        <family val="3"/>
      </rPr>
      <t>)</t>
    </r>
  </si>
  <si>
    <r>
      <t>=Clipboard_Load(</t>
    </r>
    <r>
      <rPr>
        <i/>
        <sz val="8"/>
        <color rgb="FF002060"/>
        <rFont val="Courier New"/>
        <family val="3"/>
      </rPr>
      <t>"aValue"</t>
    </r>
    <r>
      <rPr>
        <b/>
        <sz val="8"/>
        <color rgb="FF002060"/>
        <rFont val="Courier New"/>
        <family val="3"/>
      </rPr>
      <t>)</t>
    </r>
  </si>
  <si>
    <r>
      <rPr>
        <sz val="8"/>
        <color rgb="FFD86060"/>
        <rFont val="Courier New"/>
        <family val="3"/>
      </rPr>
      <t>Debug.Print:</t>
    </r>
    <r>
      <rPr>
        <i/>
        <sz val="8"/>
        <color rgb="FFE08080"/>
        <rFont val="Courier New"/>
        <family val="3"/>
      </rPr>
      <t xml:space="preserve"> </t>
    </r>
    <r>
      <rPr>
        <b/>
        <sz val="8"/>
        <color rgb="FFE08080"/>
        <rFont val="Courier New"/>
        <family val="3"/>
      </rPr>
      <t xml:space="preserve">&gt;&gt; </t>
    </r>
    <r>
      <rPr>
        <b/>
        <i/>
        <sz val="8"/>
        <color rgb="FFE08080"/>
        <rFont val="Courier New"/>
        <family val="3"/>
      </rPr>
      <t>Label</t>
    </r>
    <r>
      <rPr>
        <b/>
        <sz val="8"/>
        <color rgb="FFE08080"/>
        <rFont val="Courier New"/>
        <family val="3"/>
      </rPr>
      <t xml:space="preserve">: </t>
    </r>
    <r>
      <rPr>
        <b/>
        <i/>
        <sz val="8"/>
        <color rgb="FFE08080"/>
        <rFont val="Courier New"/>
        <family val="3"/>
      </rPr>
      <t>Value</t>
    </r>
  </si>
  <si>
    <r>
      <t xml:space="preserve">Copies </t>
    </r>
    <r>
      <rPr>
        <i/>
        <sz val="8"/>
        <color rgb="FFC00000"/>
        <rFont val="Courier New"/>
        <family val="3"/>
      </rPr>
      <t>"aValue"</t>
    </r>
    <r>
      <rPr>
        <b/>
        <sz val="8"/>
        <color rgb="FFC00000"/>
        <rFont val="Courier New"/>
        <family val="3"/>
      </rPr>
      <t xml:space="preserve"> to clipboard and returns True</t>
    </r>
  </si>
  <si>
    <t>Print_Pad()</t>
  </si>
  <si>
    <t>Clipboard_Read()</t>
  </si>
  <si>
    <t>Get_CopiedRangeVals()</t>
  </si>
  <si>
    <t>Clipboard_IsRange()</t>
  </si>
  <si>
    <r>
      <t>AutoAdjustZoom(</t>
    </r>
    <r>
      <rPr>
        <i/>
        <sz val="8"/>
        <color rgb="FF002060"/>
        <rFont val="Courier New"/>
        <family val="3"/>
      </rPr>
      <t>rngBegin, rngEnd</t>
    </r>
    <r>
      <rPr>
        <b/>
        <sz val="8"/>
        <color rgb="FF002060"/>
        <rFont val="Courier New"/>
        <family val="3"/>
      </rPr>
      <t>)</t>
    </r>
  </si>
  <si>
    <r>
      <t>Print_Named(</t>
    </r>
    <r>
      <rPr>
        <b/>
        <i/>
        <sz val="8"/>
        <color rgb="FF8090B0"/>
        <rFont val="Courier New"/>
        <family val="3"/>
      </rPr>
      <t>Value, Label</t>
    </r>
    <r>
      <rPr>
        <b/>
        <sz val="8"/>
        <color rgb="FF8090B0"/>
        <rFont val="Courier New"/>
        <family val="3"/>
      </rPr>
      <t>)</t>
    </r>
  </si>
  <si>
    <r>
      <t>LaunchLink(</t>
    </r>
    <r>
      <rPr>
        <i/>
        <sz val="8"/>
        <color rgb="FF002060"/>
        <rFont val="Courier New"/>
        <family val="3"/>
      </rPr>
      <t>aLink</t>
    </r>
    <r>
      <rPr>
        <b/>
        <sz val="8"/>
        <color rgb="FF002060"/>
        <rFont val="Courier New"/>
        <family val="3"/>
      </rPr>
      <t>)</t>
    </r>
  </si>
  <si>
    <r>
      <t>InsertSlicer(</t>
    </r>
    <r>
      <rPr>
        <i/>
        <sz val="8"/>
        <color rgb="FF002060"/>
        <rFont val="Courier New"/>
        <family val="3"/>
      </rPr>
      <t>NamedRange, numCols, aHeight, aWidth</t>
    </r>
    <r>
      <rPr>
        <b/>
        <sz val="8"/>
        <color rgb="FF002060"/>
        <rFont val="Courier New"/>
        <family val="3"/>
      </rPr>
      <t>)</t>
    </r>
  </si>
  <si>
    <r>
      <t>AlterSlicerColumns(</t>
    </r>
    <r>
      <rPr>
        <i/>
        <sz val="8"/>
        <color rgb="FF002060"/>
        <rFont val="Courier New"/>
        <family val="3"/>
      </rPr>
      <t>SlicerName, NumCols</t>
    </r>
    <r>
      <rPr>
        <b/>
        <sz val="8"/>
        <color rgb="FF002060"/>
        <rFont val="Courier New"/>
        <family val="3"/>
      </rPr>
      <t>)</t>
    </r>
  </si>
  <si>
    <r>
      <t xml:space="preserve"> MoveSlicer(</t>
    </r>
    <r>
      <rPr>
        <i/>
        <sz val="8"/>
        <color rgb="FF002060"/>
        <rFont val="Courier New"/>
        <family val="3"/>
      </rPr>
      <t>SlicerSelection, rngPaste, leftOffset, IncTop</t>
    </r>
    <r>
      <rPr>
        <b/>
        <sz val="8"/>
        <color rgb="FF002060"/>
        <rFont val="Courier New"/>
        <family val="3"/>
      </rPr>
      <t>)</t>
    </r>
  </si>
  <si>
    <t>Blue Font is Sub or Function</t>
  </si>
  <si>
    <r>
      <t xml:space="preserve">Creates a slicer for </t>
    </r>
    <r>
      <rPr>
        <i/>
        <sz val="8"/>
        <color rgb="FFC00000"/>
        <rFont val="Courier New"/>
        <family val="3"/>
      </rPr>
      <t xml:space="preserve">NamedRange </t>
    </r>
    <r>
      <rPr>
        <b/>
        <sz val="8"/>
        <color rgb="FFC00000"/>
        <rFont val="Courier New"/>
        <family val="3"/>
      </rPr>
      <t>(must be a within an Excel table)</t>
    </r>
  </si>
  <si>
    <t>=Get_RFolder()</t>
  </si>
  <si>
    <t>=Get_RExePath()</t>
  </si>
  <si>
    <r>
      <t>=Get_LatestRVersion(</t>
    </r>
    <r>
      <rPr>
        <i/>
        <sz val="8"/>
        <color rgb="FF002060"/>
        <rFont val="Courier New"/>
        <family val="3"/>
      </rPr>
      <t>RVersions</t>
    </r>
    <r>
      <rPr>
        <b/>
        <sz val="8"/>
        <color rgb="FF002060"/>
        <rFont val="Courier New"/>
        <family val="3"/>
      </rPr>
      <t>)</t>
    </r>
  </si>
  <si>
    <r>
      <t>=Get_RVersions(</t>
    </r>
    <r>
      <rPr>
        <i/>
        <sz val="8"/>
        <color rgb="FF002060"/>
        <rFont val="Courier New"/>
        <family val="3"/>
      </rPr>
      <t>RFolderPath</t>
    </r>
    <r>
      <rPr>
        <b/>
        <sz val="8"/>
        <color rgb="FF002060"/>
        <rFont val="Courier New"/>
        <family val="3"/>
      </rPr>
      <t>)</t>
    </r>
  </si>
  <si>
    <r>
      <t xml:space="preserve">Writes </t>
    </r>
    <r>
      <rPr>
        <i/>
        <sz val="8"/>
        <color rgb="FFE08080"/>
        <rFont val="Courier New"/>
        <family val="3"/>
      </rPr>
      <t>ScriptContents</t>
    </r>
    <r>
      <rPr>
        <b/>
        <i/>
        <sz val="8"/>
        <color rgb="FFE08080"/>
        <rFont val="Courier New"/>
        <family val="3"/>
      </rPr>
      <t xml:space="preserve"> to Temp.R in a temporary folder, returns path</t>
    </r>
  </si>
  <si>
    <t>=Get_MacUsername()</t>
  </si>
  <si>
    <t>=Get_Username()</t>
  </si>
  <si>
    <t>=Get_DesktopPath()</t>
  </si>
  <si>
    <r>
      <t>Delete_FileAndFolder(</t>
    </r>
    <r>
      <rPr>
        <i/>
        <sz val="8"/>
        <color rgb="FF002060"/>
        <rFont val="Courier New"/>
        <family val="3"/>
      </rPr>
      <t>aFilePath</t>
    </r>
    <r>
      <rPr>
        <b/>
        <sz val="8"/>
        <color rgb="FF8090B0"/>
        <rFont val="Courier New"/>
        <family val="3"/>
      </rPr>
      <t>)</t>
    </r>
  </si>
  <si>
    <t>Read comments in VBA prior to use</t>
  </si>
  <si>
    <r>
      <t xml:space="preserve">If fullscreen, adjusts user view to the width of </t>
    </r>
    <r>
      <rPr>
        <i/>
        <sz val="8"/>
        <color rgb="FFC00000"/>
        <rFont val="Courier New"/>
        <family val="3"/>
      </rPr>
      <t>rngBegin</t>
    </r>
    <r>
      <rPr>
        <b/>
        <sz val="8"/>
        <color rgb="FFC00000"/>
        <rFont val="Courier New"/>
        <family val="3"/>
      </rPr>
      <t xml:space="preserve"> to </t>
    </r>
    <r>
      <rPr>
        <i/>
        <sz val="8"/>
        <color rgb="FFC00000"/>
        <rFont val="Courier New"/>
        <family val="3"/>
      </rPr>
      <t>rngEnd</t>
    </r>
  </si>
  <si>
    <r>
      <t xml:space="preserve">Runs .R file </t>
    </r>
    <r>
      <rPr>
        <i/>
        <sz val="8"/>
        <color rgb="FFC00000"/>
        <rFont val="Courier New"/>
        <family val="3"/>
      </rPr>
      <t>ScriptLocation</t>
    </r>
    <r>
      <rPr>
        <b/>
        <sz val="8"/>
        <color rgb="FFC00000"/>
        <rFont val="Courier New"/>
        <family val="3"/>
      </rPr>
      <t xml:space="preserve"> </t>
    </r>
    <r>
      <rPr>
        <b/>
        <sz val="8"/>
        <color rgb="FFE08080"/>
        <rFont val="Courier New"/>
        <family val="3"/>
      </rPr>
      <t>with Rscript.exe pointed to with</t>
    </r>
    <r>
      <rPr>
        <b/>
        <sz val="8"/>
        <color rgb="FFC00000"/>
        <rFont val="Courier New"/>
        <family val="3"/>
      </rPr>
      <t xml:space="preserve"> </t>
    </r>
    <r>
      <rPr>
        <i/>
        <sz val="8"/>
        <color rgb="FFC00000"/>
        <rFont val="Courier New"/>
        <family val="3"/>
      </rPr>
      <t>RLocation</t>
    </r>
    <r>
      <rPr>
        <b/>
        <sz val="8"/>
        <color rgb="FFC00000"/>
        <rFont val="Courier New"/>
        <family val="3"/>
      </rPr>
      <t xml:space="preserve"> </t>
    </r>
  </si>
  <si>
    <r>
      <t>Run_Rscript(</t>
    </r>
    <r>
      <rPr>
        <i/>
        <sz val="8"/>
        <color rgb="FF002060"/>
        <rFont val="Courier New"/>
        <family val="3"/>
      </rPr>
      <t xml:space="preserve">RLocation, ScriptLocation, </t>
    </r>
    <r>
      <rPr>
        <i/>
        <sz val="8"/>
        <color rgb="FF8090B0"/>
        <rFont val="Courier New"/>
        <family val="3"/>
      </rPr>
      <t>"</t>
    </r>
    <r>
      <rPr>
        <i/>
        <sz val="8"/>
        <color rgb="FF002060"/>
        <rFont val="Courier New"/>
        <family val="3"/>
      </rPr>
      <t>VeryHidden</t>
    </r>
    <r>
      <rPr>
        <i/>
        <sz val="8"/>
        <color rgb="FF8090B0"/>
        <rFont val="Courier New"/>
        <family val="3"/>
      </rPr>
      <t>"</t>
    </r>
    <r>
      <rPr>
        <b/>
        <sz val="8"/>
        <color rgb="FF8090B0"/>
        <rFont val="Courier New"/>
        <family val="3"/>
      </rPr>
      <t>)</t>
    </r>
  </si>
  <si>
    <r>
      <t xml:space="preserve">Locates latest R version, points to Rscript.exe, runs </t>
    </r>
    <r>
      <rPr>
        <i/>
        <sz val="8"/>
        <color rgb="FFC00000"/>
        <rFont val="Courier New"/>
        <family val="3"/>
      </rPr>
      <t>ScriptLocation</t>
    </r>
  </si>
  <si>
    <r>
      <t>FindAndRun_RScript(</t>
    </r>
    <r>
      <rPr>
        <i/>
        <sz val="8"/>
        <color rgb="FF002060"/>
        <rFont val="Courier New"/>
        <family val="3"/>
      </rPr>
      <t>ScriptLocation</t>
    </r>
    <r>
      <rPr>
        <b/>
        <sz val="8"/>
        <color rgb="FF8090B0"/>
        <rFont val="Courier New"/>
        <family val="3"/>
      </rPr>
      <t>)</t>
    </r>
  </si>
  <si>
    <r>
      <t>WriteTemp_RScript(</t>
    </r>
    <r>
      <rPr>
        <i/>
        <sz val="8"/>
        <color rgb="FF002060"/>
        <rFont val="Courier New"/>
        <family val="3"/>
      </rPr>
      <t>ScriptContents</t>
    </r>
    <r>
      <rPr>
        <b/>
        <sz val="8"/>
        <color rgb="FF8090B0"/>
        <rFont val="Courier New"/>
        <family val="3"/>
      </rPr>
      <t>)</t>
    </r>
  </si>
  <si>
    <r>
      <t>QuickRun_RScript(</t>
    </r>
    <r>
      <rPr>
        <i/>
        <sz val="8"/>
        <color rgb="FF002060"/>
        <rFont val="Courier New"/>
        <family val="3"/>
      </rPr>
      <t>ScriptContents</t>
    </r>
    <r>
      <rPr>
        <b/>
        <sz val="8"/>
        <color rgb="FF8090B0"/>
        <rFont val="Courier New"/>
        <family val="3"/>
      </rPr>
      <t>)</t>
    </r>
  </si>
  <si>
    <r>
      <t xml:space="preserve">Writes </t>
    </r>
    <r>
      <rPr>
        <i/>
        <sz val="8"/>
        <color rgb="FFE08080"/>
        <rFont val="Courier New"/>
        <family val="3"/>
      </rPr>
      <t>ScriptContents</t>
    </r>
    <r>
      <rPr>
        <b/>
        <i/>
        <sz val="8"/>
        <color rgb="FFE08080"/>
        <rFont val="Courier New"/>
        <family val="3"/>
      </rPr>
      <t xml:space="preserve"> to Temp.R, runs Temp.R, deletes Temp.R</t>
    </r>
  </si>
  <si>
    <t>Toggles display of ribbon, formula bar, status bar &amp; headings</t>
  </si>
  <si>
    <r>
      <t>MergeAndCombine(</t>
    </r>
    <r>
      <rPr>
        <i/>
        <sz val="8"/>
        <color rgb="FF002060"/>
        <rFont val="Courier New"/>
        <family val="3"/>
      </rPr>
      <t>MergeRange</t>
    </r>
    <r>
      <rPr>
        <b/>
        <sz val="8"/>
        <color rgb="FF002060"/>
        <rFont val="Courier New"/>
        <family val="3"/>
      </rPr>
      <t>)</t>
    </r>
  </si>
  <si>
    <t>Alternative to Merge &amp; Center to concatenate cell values in a range</t>
  </si>
  <si>
    <t>ToggleViewMode()</t>
  </si>
  <si>
    <t>MenuAdd_MergeAndCombine()</t>
  </si>
  <si>
    <t>MenuDelete_MergeAndCombine()</t>
  </si>
  <si>
    <r>
      <t>MergeAndCombine(</t>
    </r>
    <r>
      <rPr>
        <i/>
        <sz val="8"/>
        <color rgb="FF002060"/>
        <rFont val="Courier New"/>
        <family val="3"/>
      </rPr>
      <t>MergeRange, SepValsByNewLine = True</t>
    </r>
    <r>
      <rPr>
        <b/>
        <sz val="8"/>
        <color rgb="FF002060"/>
        <rFont val="Courier New"/>
        <family val="3"/>
      </rPr>
      <t>)</t>
    </r>
  </si>
  <si>
    <t>Concatenates all text in a range seperated then merges range</t>
  </si>
  <si>
    <t>Add a menu option to the cell right-click menu to "Merge and Combine"</t>
  </si>
  <si>
    <t>Deletes the menu option "Merge and Combine"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</si>
</sst>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8"/>
      <color rgb="FF002060"/>
      <name val="Courier New"/>
      <family val="3"/>
    </font>
    <font>
      <sz val="8"/>
      <color theme="1"/>
      <name val="Courier New"/>
      <family val="3"/>
    </font>
    <font>
      <b/>
      <sz val="8"/>
      <color rgb="FFC00000"/>
      <name val="Courier New"/>
      <family val="3"/>
    </font>
    <font>
      <b/>
      <sz val="8"/>
      <color theme="1"/>
      <name val="Courier New"/>
      <family val="3"/>
    </font>
    <font>
      <b/>
      <sz val="8"/>
      <color rgb="FF8090B0"/>
      <name val="Courier New"/>
      <family val="3"/>
    </font>
    <font>
      <b/>
      <sz val="8"/>
      <color rgb="FFE08080"/>
      <name val="Courier New"/>
      <family val="3"/>
    </font>
    <font>
      <sz val="8"/>
      <color rgb="FFE08080"/>
      <name val="Courier New"/>
      <family val="3"/>
    </font>
    <font>
      <b/>
      <i/>
      <sz val="8"/>
      <color rgb="FFE08080"/>
      <name val="Courier New"/>
      <family val="3"/>
    </font>
    <font>
      <i/>
      <sz val="8"/>
      <color rgb="FFE08080"/>
      <name val="Courier New"/>
      <family val="3"/>
    </font>
    <font>
      <i/>
      <sz val="8"/>
      <color rgb="FFC00000"/>
      <name val="Courier New"/>
      <family val="3"/>
    </font>
    <font>
      <sz val="8"/>
      <color rgb="FFD86060"/>
      <name val="Courier New"/>
      <family val="3"/>
    </font>
    <font>
      <b/>
      <sz val="11"/>
      <color rgb="FF002060"/>
      <name val="Courier New"/>
      <family val="3"/>
    </font>
    <font>
      <sz val="11"/>
      <color theme="1"/>
      <name val="Courier New"/>
      <family val="3"/>
    </font>
    <font>
      <b/>
      <sz val="11"/>
      <color rgb="FFC00000"/>
      <name val="Courier New"/>
      <family val="3"/>
    </font>
    <font>
      <b/>
      <sz val="11"/>
      <color theme="1"/>
      <name val="Courier New"/>
      <family val="3"/>
    </font>
    <font>
      <i/>
      <sz val="8"/>
      <color rgb="FF002060"/>
      <name val="Courier New"/>
      <family val="3"/>
    </font>
    <font>
      <b/>
      <i/>
      <sz val="8"/>
      <color rgb="FF002060"/>
      <name val="Courier New"/>
      <family val="3"/>
    </font>
    <font>
      <b/>
      <i/>
      <sz val="8"/>
      <color rgb="FF8090B0"/>
      <name val="Courier New"/>
      <family val="3"/>
    </font>
    <font>
      <i/>
      <sz val="8"/>
      <color rgb="FF8090B0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quotePrefix="1" applyFont="1" applyFill="1" applyAlignment="1">
      <alignment horizontal="right" indent="1"/>
    </xf>
    <xf numFmtId="0" fontId="2" fillId="2" borderId="0" xfId="0" applyFont="1" applyFill="1" applyAlignment="1">
      <alignment horizontal="center"/>
    </xf>
    <xf numFmtId="0" fontId="3" fillId="2" borderId="0" xfId="0" applyFont="1" applyFill="1" applyAlignment="1">
      <alignment horizontal="left"/>
    </xf>
    <xf numFmtId="0" fontId="2" fillId="2" borderId="0" xfId="0" applyFont="1" applyFill="1" applyAlignment="1">
      <alignment horizontal="left" indent="1"/>
    </xf>
    <xf numFmtId="0" fontId="2" fillId="2" borderId="0" xfId="0" applyFont="1" applyFill="1"/>
    <xf numFmtId="0" fontId="1" fillId="2" borderId="0" xfId="0" quotePrefix="1" applyFont="1" applyFill="1" applyAlignment="1">
      <alignment horizontal="right"/>
    </xf>
    <xf numFmtId="0" fontId="4" fillId="2" borderId="0" xfId="0" quotePrefix="1" applyFont="1" applyFill="1" applyAlignment="1">
      <alignment horizontal="center"/>
    </xf>
    <xf numFmtId="0" fontId="5" fillId="2" borderId="0" xfId="0" quotePrefix="1" applyFont="1" applyFill="1" applyAlignment="1">
      <alignment horizontal="right" vertical="top"/>
    </xf>
    <xf numFmtId="0" fontId="4" fillId="2" borderId="0" xfId="0" quotePrefix="1" applyFont="1" applyFill="1" applyAlignment="1">
      <alignment horizontal="center" vertical="top"/>
    </xf>
    <xf numFmtId="0" fontId="6" fillId="2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2" fillId="2" borderId="0" xfId="0" applyFont="1" applyFill="1" applyAlignment="1">
      <alignment vertical="top"/>
    </xf>
    <xf numFmtId="0" fontId="3" fillId="2" borderId="0" xfId="0" applyFont="1" applyFill="1" applyAlignment="1">
      <alignment horizontal="left" indent="1"/>
    </xf>
    <xf numFmtId="0" fontId="5" fillId="2" borderId="0" xfId="0" quotePrefix="1" applyFont="1" applyFill="1" applyAlignment="1">
      <alignment horizontal="right"/>
    </xf>
    <xf numFmtId="0" fontId="5" fillId="2" borderId="0" xfId="0" quotePrefix="1" applyFont="1" applyFill="1" applyAlignment="1">
      <alignment horizontal="center"/>
    </xf>
    <xf numFmtId="0" fontId="7" fillId="2" borderId="0" xfId="0" applyFont="1" applyFill="1" applyAlignment="1">
      <alignment horizontal="left"/>
    </xf>
    <xf numFmtId="0" fontId="9" fillId="2" borderId="0" xfId="0" applyFont="1" applyFill="1" applyAlignment="1">
      <alignment horizontal="left"/>
    </xf>
    <xf numFmtId="0" fontId="10" fillId="2" borderId="0" xfId="0" applyFont="1" applyFill="1" applyAlignment="1">
      <alignment horizontal="left" vertical="top"/>
    </xf>
    <xf numFmtId="0" fontId="12" fillId="2" borderId="0" xfId="0" quotePrefix="1" applyFont="1" applyFill="1" applyAlignment="1">
      <alignment horizontal="right"/>
    </xf>
    <xf numFmtId="0" fontId="13" fillId="2" borderId="0" xfId="0" applyFont="1" applyFill="1" applyAlignment="1">
      <alignment horizontal="center"/>
    </xf>
    <xf numFmtId="0" fontId="14" fillId="2" borderId="0" xfId="0" applyFont="1" applyFill="1" applyAlignment="1">
      <alignment horizontal="left"/>
    </xf>
    <xf numFmtId="0" fontId="15" fillId="2" borderId="0" xfId="0" quotePrefix="1" applyFont="1" applyFill="1" applyAlignment="1">
      <alignment horizontal="center"/>
    </xf>
    <xf numFmtId="0" fontId="12" fillId="2" borderId="0" xfId="0" quotePrefix="1" applyFont="1" applyFill="1" applyAlignment="1">
      <alignment horizontal="right" indent="1"/>
    </xf>
    <xf numFmtId="0" fontId="16" fillId="2" borderId="0" xfId="0" quotePrefix="1" applyFont="1" applyFill="1" applyAlignment="1">
      <alignment horizontal="right" vertical="top"/>
    </xf>
    <xf numFmtId="0" fontId="6" fillId="2" borderId="0" xfId="0" applyFont="1" applyFill="1" applyAlignment="1">
      <alignment horizontal="left"/>
    </xf>
    <xf numFmtId="0" fontId="5" fillId="2" borderId="0" xfId="0" quotePrefix="1" applyFont="1" applyFill="1" applyAlignment="1">
      <alignment horizontal="right" wrapText="1"/>
    </xf>
    <xf numFmtId="0" fontId="2" fillId="2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8090B0"/>
      <color rgb="FFE08080"/>
      <color rgb="FFD86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6C492-FCDD-4624-9424-051D645688C2}">
  <sheetPr codeName="shtPortable_Functions"/>
  <dimension ref="A1:I24"/>
  <sheetViews>
    <sheetView tabSelected="1" zoomScale="168" zoomScaleNormal="168" workbookViewId="0">
      <pane ySplit="4" topLeftCell="A5" activePane="bottomLeft" state="frozen"/>
      <selection pane="bottomLeft"/>
    </sheetView>
  </sheetViews>
  <sheetFormatPr defaultColWidth="0" defaultRowHeight="10.5" x14ac:dyDescent="0.35"/>
  <cols>
    <col min="1" max="1" width="3.33203125" style="5" customWidth="1"/>
    <col min="2" max="2" width="9.1328125" style="5" customWidth="1"/>
    <col min="3" max="3" width="38.796875" style="6" bestFit="1" customWidth="1"/>
    <col min="4" max="4" width="2.86328125" style="2" customWidth="1"/>
    <col min="5" max="5" width="17.1328125" style="3" customWidth="1"/>
    <col min="6" max="6" width="17.46484375" style="4" customWidth="1"/>
    <col min="7" max="9" width="9.1328125" style="5" customWidth="1"/>
    <col min="10" max="16384" width="9.1328125" style="5" hidden="1"/>
  </cols>
  <sheetData>
    <row r="1" spans="3:6" ht="1.9" customHeight="1" x14ac:dyDescent="0.5">
      <c r="C1" s="23"/>
      <c r="D1" s="20"/>
      <c r="E1" s="21"/>
    </row>
    <row r="2" spans="3:6" ht="14.65" x14ac:dyDescent="0.5">
      <c r="C2" s="19" t="s">
        <v>3</v>
      </c>
      <c r="D2" s="22"/>
      <c r="E2" s="21" t="s">
        <v>11</v>
      </c>
    </row>
    <row r="3" spans="3:6" s="12" customFormat="1" x14ac:dyDescent="0.45">
      <c r="C3" s="8" t="s">
        <v>4</v>
      </c>
      <c r="D3" s="9"/>
      <c r="E3" s="10" t="s">
        <v>5</v>
      </c>
      <c r="F3" s="11"/>
    </row>
    <row r="4" spans="3:6" s="12" customFormat="1" x14ac:dyDescent="0.45">
      <c r="C4" s="24" t="s">
        <v>7</v>
      </c>
      <c r="D4" s="9"/>
      <c r="E4" s="18" t="s">
        <v>7</v>
      </c>
      <c r="F4" s="11"/>
    </row>
    <row r="5" spans="3:6" ht="6.75" customHeight="1" x14ac:dyDescent="0.35"/>
    <row r="6" spans="3:6" x14ac:dyDescent="0.35">
      <c r="C6" s="6" t="s">
        <v>18</v>
      </c>
      <c r="D6" s="7" t="s">
        <v>0</v>
      </c>
      <c r="E6" s="3" t="str" cm="1">
        <f t="array" ref="E6:F6">Tabs_MatchingCodeName("Portable", FALSE)</f>
        <v>zPortable_Functions</v>
      </c>
      <c r="F6" s="13" t="str">
        <v>zPortable_Subs</v>
      </c>
    </row>
    <row r="7" spans="3:6" x14ac:dyDescent="0.35">
      <c r="C7" s="6" t="s">
        <v>19</v>
      </c>
      <c r="D7" s="7" t="s">
        <v>0</v>
      </c>
      <c r="E7" s="3" t="b" cm="1">
        <f t="array" ref="E7">WorksheetExists("zPortable_Functions")</f>
        <v>1</v>
      </c>
    </row>
    <row r="8" spans="3:6" x14ac:dyDescent="0.35">
      <c r="C8" s="6" t="s">
        <v>20</v>
      </c>
      <c r="D8" s="7" t="s">
        <v>0</v>
      </c>
      <c r="E8" s="3" t="str" cm="1">
        <f t="array" ref="E8">ExtractFirstInt_RightToLeft("Some12Embedded345Num")</f>
        <v>345</v>
      </c>
    </row>
    <row r="9" spans="3:6" x14ac:dyDescent="0.35">
      <c r="C9" s="6" t="s">
        <v>21</v>
      </c>
      <c r="D9" s="7" t="s">
        <v>0</v>
      </c>
      <c r="E9" s="3" t="str" cm="1">
        <f t="array" ref="E9">ExtractFirstInt_LeftToRight("Some12Embedded345Num")</f>
        <v>12</v>
      </c>
    </row>
    <row r="10" spans="3:6" x14ac:dyDescent="0.35">
      <c r="C10" s="6" t="s">
        <v>22</v>
      </c>
      <c r="D10" s="7" t="s">
        <v>0</v>
      </c>
      <c r="E10" s="3" t="str" cm="1">
        <f t="array" ref="E10">Truncate_Before_Int("Some12Embedded345Num")</f>
        <v>12Embedded345Num</v>
      </c>
    </row>
    <row r="11" spans="3:6" x14ac:dyDescent="0.35">
      <c r="C11" s="6" t="s">
        <v>23</v>
      </c>
      <c r="D11" s="7" t="s">
        <v>0</v>
      </c>
      <c r="E11" s="3" t="str" cm="1">
        <f t="array" ref="E11">Truncate_After_Int("Some12Embedded345Num")</f>
        <v>Some12Embedded345</v>
      </c>
    </row>
    <row r="12" spans="3:6" x14ac:dyDescent="0.35">
      <c r="C12" s="6" t="s">
        <v>24</v>
      </c>
      <c r="D12" s="7" t="s">
        <v>0</v>
      </c>
      <c r="E12" s="3" t="b" cm="1">
        <f t="array" ref="E12">IsInt_NoTrailingSymbols("9999,")</f>
        <v>0</v>
      </c>
    </row>
    <row r="13" spans="3:6" x14ac:dyDescent="0.35">
      <c r="C13" s="6" t="s">
        <v>2</v>
      </c>
      <c r="D13" s="7" t="s">
        <v>0</v>
      </c>
      <c r="E13" s="3" t="str" cm="1">
        <f t="array" ref="E13">Get_WindowsUserName()</f>
        <v>chris</v>
      </c>
    </row>
    <row r="14" spans="3:6" x14ac:dyDescent="0.35">
      <c r="C14" s="6" t="s">
        <v>45</v>
      </c>
      <c r="D14" s="7" t="s">
        <v>0</v>
      </c>
      <c r="E14" s="3" t="str" cm="1">
        <f t="array" ref="E14">Get_MacUsername()</f>
        <v/>
      </c>
    </row>
    <row r="15" spans="3:6" x14ac:dyDescent="0.35">
      <c r="C15" s="6" t="s">
        <v>1</v>
      </c>
      <c r="D15" s="7" t="s">
        <v>0</v>
      </c>
      <c r="E15" s="3" t="str" cm="1">
        <f t="array" ref="E15">MyOS()</f>
        <v>Windows</v>
      </c>
    </row>
    <row r="16" spans="3:6" x14ac:dyDescent="0.35">
      <c r="C16" s="6" t="s">
        <v>46</v>
      </c>
      <c r="D16" s="7" t="s">
        <v>0</v>
      </c>
      <c r="E16" s="3" t="str" cm="1">
        <f t="array" ref="E16">Get_Username()</f>
        <v>chris</v>
      </c>
    </row>
    <row r="17" spans="3:5" x14ac:dyDescent="0.35">
      <c r="C17" s="6" t="s">
        <v>47</v>
      </c>
      <c r="D17" s="7" t="s">
        <v>0</v>
      </c>
      <c r="E17" s="3" t="str" cm="1">
        <f t="array" ref="E17">Get_DesktopPath()</f>
        <v>C:\Users\chris\OneDrive\Desktop</v>
      </c>
    </row>
    <row r="18" spans="3:5" x14ac:dyDescent="0.35">
      <c r="C18" s="14" t="s">
        <v>48</v>
      </c>
      <c r="D18" s="15" t="s">
        <v>0</v>
      </c>
      <c r="E18" s="10" t="s">
        <v>49</v>
      </c>
    </row>
    <row r="19" spans="3:5" x14ac:dyDescent="0.35">
      <c r="C19" s="14" t="s">
        <v>28</v>
      </c>
      <c r="D19" s="15" t="s">
        <v>0</v>
      </c>
      <c r="E19" s="16" t="s">
        <v>15</v>
      </c>
    </row>
    <row r="20" spans="3:5" x14ac:dyDescent="0.35">
      <c r="C20" s="14" t="s">
        <v>33</v>
      </c>
      <c r="D20" s="15" t="s">
        <v>0</v>
      </c>
      <c r="E20" s="17" t="s">
        <v>26</v>
      </c>
    </row>
    <row r="21" spans="3:5" x14ac:dyDescent="0.35">
      <c r="C21" s="6" t="s">
        <v>25</v>
      </c>
      <c r="D21" s="7" t="s">
        <v>0</v>
      </c>
      <c r="E21" s="3" t="s">
        <v>27</v>
      </c>
    </row>
    <row r="22" spans="3:5" x14ac:dyDescent="0.35">
      <c r="C22" s="8" t="s">
        <v>29</v>
      </c>
      <c r="D22" s="15" t="s">
        <v>0</v>
      </c>
      <c r="E22" s="10" t="s">
        <v>12</v>
      </c>
    </row>
    <row r="23" spans="3:5" x14ac:dyDescent="0.35">
      <c r="C23" s="14" t="s">
        <v>30</v>
      </c>
      <c r="D23" s="15" t="s">
        <v>0</v>
      </c>
      <c r="E23" s="10" t="s">
        <v>13</v>
      </c>
    </row>
    <row r="24" spans="3:5" x14ac:dyDescent="0.35">
      <c r="C24" s="14" t="s">
        <v>31</v>
      </c>
      <c r="D24" s="15" t="s">
        <v>0</v>
      </c>
      <c r="E24" s="10" t="s">
        <v>14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7B108-2DF1-4F2D-A7BA-ADED20F87FF1}">
  <sheetPr codeName="shtPortable_Subs"/>
  <dimension ref="A1:L38"/>
  <sheetViews>
    <sheetView zoomScale="167" zoomScaleNormal="167" workbookViewId="0">
      <pane ySplit="3" topLeftCell="A4" activePane="bottomLeft" state="frozen"/>
      <selection pane="bottomLeft"/>
    </sheetView>
  </sheetViews>
  <sheetFormatPr defaultColWidth="0" defaultRowHeight="10.5" x14ac:dyDescent="0.35"/>
  <cols>
    <col min="1" max="1" width="3.33203125" style="5" customWidth="1"/>
    <col min="2" max="2" width="9.1328125" style="5" customWidth="1"/>
    <col min="3" max="3" width="39.53125" style="1" customWidth="1"/>
    <col min="4" max="4" width="2.86328125" style="2" customWidth="1"/>
    <col min="5" max="5" width="17.1328125" style="3" customWidth="1"/>
    <col min="6" max="6" width="17.46484375" style="4" customWidth="1"/>
    <col min="7" max="9" width="9.1328125" style="5" customWidth="1"/>
    <col min="10" max="12" width="0" style="5" hidden="1" customWidth="1"/>
    <col min="13" max="16384" width="9.1328125" style="5" hidden="1"/>
  </cols>
  <sheetData>
    <row r="1" spans="3:12" ht="1.9" customHeight="1" x14ac:dyDescent="0.5">
      <c r="C1" s="23"/>
      <c r="D1" s="20"/>
      <c r="E1" s="21"/>
    </row>
    <row r="2" spans="3:12" ht="14.65" x14ac:dyDescent="0.5">
      <c r="C2" s="19" t="s">
        <v>6</v>
      </c>
      <c r="D2" s="22"/>
      <c r="E2" s="21" t="s">
        <v>11</v>
      </c>
    </row>
    <row r="3" spans="3:12" s="12" customFormat="1" x14ac:dyDescent="0.45">
      <c r="C3" s="24" t="s">
        <v>7</v>
      </c>
      <c r="D3" s="9"/>
      <c r="E3" s="18" t="s">
        <v>7</v>
      </c>
      <c r="F3" s="11"/>
    </row>
    <row r="4" spans="3:12" ht="6.75" customHeight="1" x14ac:dyDescent="0.35"/>
    <row r="5" spans="3:12" x14ac:dyDescent="0.35">
      <c r="C5" s="6" t="s">
        <v>16</v>
      </c>
      <c r="D5" s="7" t="s">
        <v>0</v>
      </c>
      <c r="E5" s="3" t="s">
        <v>9</v>
      </c>
      <c r="F5" s="13"/>
    </row>
    <row r="6" spans="3:12" x14ac:dyDescent="0.35">
      <c r="C6" s="6" t="s">
        <v>32</v>
      </c>
      <c r="D6" s="7" t="s">
        <v>0</v>
      </c>
      <c r="E6" s="3" t="s">
        <v>50</v>
      </c>
    </row>
    <row r="7" spans="3:12" x14ac:dyDescent="0.35">
      <c r="C7" s="6" t="s">
        <v>34</v>
      </c>
      <c r="D7" s="7" t="s">
        <v>0</v>
      </c>
      <c r="E7" s="3" t="s">
        <v>8</v>
      </c>
    </row>
    <row r="8" spans="3:12" x14ac:dyDescent="0.35">
      <c r="C8" s="6" t="s">
        <v>35</v>
      </c>
      <c r="D8" s="7" t="s">
        <v>0</v>
      </c>
      <c r="E8" s="3" t="s">
        <v>39</v>
      </c>
    </row>
    <row r="9" spans="3:12" x14ac:dyDescent="0.35">
      <c r="C9" s="6" t="s">
        <v>36</v>
      </c>
      <c r="D9" s="7" t="s">
        <v>0</v>
      </c>
      <c r="E9" s="3" t="s">
        <v>10</v>
      </c>
    </row>
    <row r="10" spans="3:12" x14ac:dyDescent="0.35">
      <c r="C10" s="6" t="s">
        <v>37</v>
      </c>
      <c r="D10" s="7" t="s">
        <v>0</v>
      </c>
      <c r="E10" s="3" t="s">
        <v>17</v>
      </c>
    </row>
    <row r="11" spans="3:12" x14ac:dyDescent="0.35">
      <c r="C11" s="6" t="s">
        <v>59</v>
      </c>
      <c r="D11" s="7" t="s">
        <v>0</v>
      </c>
      <c r="E11" s="3" t="s">
        <v>60</v>
      </c>
    </row>
    <row r="12" spans="3:12" x14ac:dyDescent="0.35">
      <c r="C12" s="6" t="s">
        <v>61</v>
      </c>
      <c r="D12" s="7" t="s">
        <v>0</v>
      </c>
      <c r="E12" s="3" t="s">
        <v>58</v>
      </c>
    </row>
    <row r="13" spans="3:12" x14ac:dyDescent="0.35">
      <c r="C13" s="6" t="s">
        <v>64</v>
      </c>
      <c r="D13" s="7" t="s">
        <v>0</v>
      </c>
      <c r="E13" s="3" t="s">
        <v>65</v>
      </c>
    </row>
    <row r="14" spans="3:12" x14ac:dyDescent="0.35">
      <c r="C14" s="6" t="s">
        <v>62</v>
      </c>
      <c r="D14" s="7" t="s">
        <v>0</v>
      </c>
      <c r="E14" s="3" t="s">
        <v>66</v>
      </c>
    </row>
    <row r="15" spans="3:12" x14ac:dyDescent="0.35">
      <c r="C15" s="6" t="s">
        <v>63</v>
      </c>
      <c r="D15" s="7" t="s">
        <v>0</v>
      </c>
      <c r="E15" s="3" t="s">
        <v>67</v>
      </c>
      <c r="F15" s="14"/>
      <c r="G15" s="14"/>
      <c r="H15" s="14"/>
      <c r="I15" s="14"/>
      <c r="J15" s="14"/>
      <c r="K15" s="14"/>
      <c r="L15" s="14"/>
    </row>
    <row r="16" spans="3:12" x14ac:dyDescent="0.35">
      <c r="C16" s="14"/>
      <c r="D16" s="14"/>
      <c r="E16" s="14"/>
      <c r="F16" s="14"/>
      <c r="G16" s="14"/>
      <c r="H16" s="14"/>
      <c r="I16" s="14"/>
      <c r="J16" s="14"/>
      <c r="K16" s="14"/>
      <c r="L16" s="14"/>
    </row>
    <row r="17" spans="3:12" x14ac:dyDescent="0.35">
      <c r="C17" s="14"/>
      <c r="D17" s="14"/>
      <c r="E17" s="14"/>
      <c r="F17" s="14"/>
      <c r="G17" s="14"/>
      <c r="H17" s="14"/>
      <c r="I17" s="14"/>
      <c r="J17" s="14"/>
      <c r="K17" s="14"/>
      <c r="L17" s="14"/>
    </row>
    <row r="18" spans="3:12" x14ac:dyDescent="0.35">
      <c r="C18" s="14"/>
      <c r="D18" s="14"/>
      <c r="E18" s="14"/>
      <c r="F18" s="14"/>
      <c r="G18" s="14"/>
      <c r="H18" s="14"/>
      <c r="I18" s="14"/>
      <c r="J18" s="14"/>
      <c r="K18" s="14"/>
      <c r="L18" s="14"/>
    </row>
    <row r="19" spans="3:12" x14ac:dyDescent="0.35">
      <c r="C19" s="14"/>
      <c r="D19" s="14"/>
      <c r="E19" s="14"/>
      <c r="F19" s="14"/>
      <c r="G19" s="14"/>
      <c r="H19" s="14"/>
      <c r="I19" s="14"/>
      <c r="J19" s="14"/>
      <c r="K19" s="14"/>
      <c r="L19" s="14"/>
    </row>
    <row r="20" spans="3:12" x14ac:dyDescent="0.35">
      <c r="C20" s="14"/>
      <c r="D20" s="14"/>
      <c r="E20" s="14"/>
      <c r="F20" s="14"/>
      <c r="G20" s="14"/>
      <c r="H20" s="14"/>
      <c r="I20" s="14"/>
      <c r="J20" s="14"/>
      <c r="K20" s="14"/>
      <c r="L20" s="14"/>
    </row>
    <row r="21" spans="3:12" x14ac:dyDescent="0.35">
      <c r="C21" s="14"/>
      <c r="D21" s="14"/>
      <c r="E21" s="14"/>
      <c r="F21" s="14"/>
      <c r="G21" s="14"/>
      <c r="H21" s="14"/>
      <c r="I21" s="14"/>
      <c r="J21" s="14"/>
      <c r="K21" s="14"/>
      <c r="L21" s="14"/>
    </row>
    <row r="22" spans="3:12" x14ac:dyDescent="0.35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35">
      <c r="C23" s="14"/>
      <c r="D23" s="14"/>
      <c r="E23" s="14"/>
      <c r="F23" s="14"/>
      <c r="G23" s="14"/>
      <c r="H23" s="14"/>
      <c r="I23" s="14"/>
      <c r="J23" s="14"/>
      <c r="K23" s="14"/>
      <c r="L23" s="14"/>
    </row>
    <row r="24" spans="3:12" x14ac:dyDescent="0.35">
      <c r="C24" s="14"/>
      <c r="D24" s="14"/>
      <c r="E24" s="14"/>
      <c r="F24" s="14"/>
      <c r="G24" s="14"/>
      <c r="H24" s="14"/>
      <c r="I24" s="14"/>
      <c r="J24" s="14"/>
      <c r="K24" s="14"/>
      <c r="L24" s="14"/>
    </row>
    <row r="25" spans="3:12" x14ac:dyDescent="0.35">
      <c r="C25" s="14"/>
      <c r="D25" s="14"/>
      <c r="E25" s="14"/>
      <c r="F25" s="14"/>
      <c r="G25" s="14"/>
      <c r="H25" s="14"/>
      <c r="I25" s="14"/>
      <c r="J25" s="14"/>
      <c r="K25" s="14"/>
      <c r="L25" s="14"/>
    </row>
    <row r="26" spans="3:12" x14ac:dyDescent="0.35">
      <c r="C26" s="14"/>
      <c r="D26" s="14"/>
      <c r="E26" s="14"/>
      <c r="F26" s="14"/>
      <c r="G26" s="14"/>
      <c r="H26" s="14"/>
      <c r="I26" s="14"/>
      <c r="J26" s="14"/>
      <c r="K26" s="14"/>
      <c r="L26" s="14"/>
    </row>
    <row r="27" spans="3:12" x14ac:dyDescent="0.35">
      <c r="C27" s="14"/>
      <c r="D27" s="14"/>
      <c r="E27" s="14"/>
      <c r="F27" s="14"/>
      <c r="G27" s="14"/>
      <c r="H27" s="14"/>
      <c r="I27" s="14"/>
      <c r="J27" s="14"/>
      <c r="K27" s="14"/>
      <c r="L27" s="14"/>
    </row>
    <row r="28" spans="3:12" x14ac:dyDescent="0.35">
      <c r="C28" s="14"/>
      <c r="D28" s="14"/>
      <c r="E28" s="14"/>
      <c r="F28" s="14"/>
      <c r="G28" s="14"/>
      <c r="H28" s="14"/>
      <c r="I28" s="14"/>
      <c r="J28" s="14"/>
      <c r="K28" s="14"/>
      <c r="L28" s="14"/>
    </row>
    <row r="29" spans="3:12" x14ac:dyDescent="0.35">
      <c r="C29" s="14"/>
      <c r="D29" s="14"/>
      <c r="E29" s="14"/>
      <c r="F29" s="14"/>
      <c r="G29" s="14"/>
      <c r="H29" s="14"/>
      <c r="I29" s="14"/>
      <c r="J29" s="14"/>
      <c r="K29" s="14"/>
      <c r="L29" s="14"/>
    </row>
    <row r="30" spans="3:12" x14ac:dyDescent="0.35">
      <c r="C30" s="14"/>
      <c r="D30" s="14"/>
      <c r="E30" s="14"/>
      <c r="F30" s="14"/>
      <c r="G30" s="14"/>
      <c r="H30" s="14"/>
      <c r="I30" s="14"/>
      <c r="J30" s="14"/>
      <c r="K30" s="14"/>
      <c r="L30" s="14"/>
    </row>
    <row r="31" spans="3:12" x14ac:dyDescent="0.35">
      <c r="C31" s="14"/>
      <c r="D31" s="14"/>
      <c r="E31" s="14"/>
      <c r="F31" s="14"/>
      <c r="G31" s="14"/>
      <c r="H31" s="14"/>
      <c r="I31" s="14"/>
      <c r="J31" s="14"/>
      <c r="K31" s="14"/>
      <c r="L31" s="14"/>
    </row>
    <row r="32" spans="3:12" x14ac:dyDescent="0.35">
      <c r="C32" s="14"/>
      <c r="D32" s="14"/>
      <c r="E32" s="14"/>
      <c r="F32" s="14"/>
      <c r="G32" s="14"/>
      <c r="H32" s="14"/>
      <c r="I32" s="14"/>
      <c r="J32" s="14"/>
      <c r="K32" s="14"/>
      <c r="L32" s="14"/>
    </row>
    <row r="33" spans="3:12" ht="14.25" customHeight="1" x14ac:dyDescent="0.35">
      <c r="C33" s="14"/>
      <c r="D33" s="14"/>
      <c r="E33" s="14"/>
      <c r="F33" s="14"/>
      <c r="G33" s="14"/>
      <c r="H33" s="14"/>
      <c r="I33" s="14"/>
      <c r="J33" s="14"/>
      <c r="K33" s="14"/>
      <c r="L33" s="14"/>
    </row>
    <row r="34" spans="3:12" x14ac:dyDescent="0.35">
      <c r="C34" s="14"/>
      <c r="D34" s="14"/>
      <c r="E34" s="14"/>
      <c r="F34" s="14"/>
      <c r="G34" s="14"/>
      <c r="H34" s="14"/>
      <c r="I34" s="14"/>
      <c r="J34" s="14"/>
      <c r="K34" s="14"/>
      <c r="L34" s="14"/>
    </row>
    <row r="35" spans="3:12" x14ac:dyDescent="0.35">
      <c r="C35" s="14"/>
      <c r="D35" s="14"/>
      <c r="E35" s="14"/>
      <c r="F35" s="14"/>
      <c r="G35" s="14"/>
      <c r="H35" s="14"/>
      <c r="I35" s="14"/>
      <c r="J35" s="14"/>
      <c r="K35" s="14"/>
      <c r="L35" s="14"/>
    </row>
    <row r="36" spans="3:12" x14ac:dyDescent="0.35">
      <c r="C36" s="14"/>
      <c r="D36" s="14"/>
      <c r="E36" s="14"/>
      <c r="F36" s="14"/>
      <c r="G36" s="14"/>
      <c r="H36" s="14"/>
      <c r="I36" s="14"/>
      <c r="J36" s="14"/>
      <c r="K36" s="14"/>
      <c r="L36" s="14"/>
    </row>
    <row r="37" spans="3:12" x14ac:dyDescent="0.35">
      <c r="C37" s="14"/>
      <c r="D37" s="14"/>
      <c r="E37" s="14"/>
      <c r="F37" s="14"/>
      <c r="G37" s="14"/>
      <c r="H37" s="14"/>
      <c r="I37" s="14"/>
      <c r="J37" s="14"/>
      <c r="K37" s="14"/>
      <c r="L37" s="14"/>
    </row>
    <row r="38" spans="3:12" x14ac:dyDescent="0.35">
      <c r="C38" s="14"/>
      <c r="D38" s="14"/>
      <c r="E38" s="14"/>
      <c r="F38" s="14"/>
      <c r="G38" s="14"/>
      <c r="H38" s="14"/>
      <c r="I38" s="14"/>
      <c r="J38" s="14"/>
      <c r="K38" s="14"/>
      <c r="L38" s="1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BCADB-DF81-4376-969A-AA0A896B7566}">
  <sheetPr codeName="shtRun_R"/>
  <dimension ref="A1:L39"/>
  <sheetViews>
    <sheetView zoomScale="167" zoomScaleNormal="167" workbookViewId="0">
      <pane ySplit="4" topLeftCell="A5" activePane="bottomLeft" state="frozen"/>
      <selection pane="bottomLeft"/>
    </sheetView>
  </sheetViews>
  <sheetFormatPr defaultColWidth="0" defaultRowHeight="10.5" x14ac:dyDescent="0.35"/>
  <cols>
    <col min="1" max="1" width="3.33203125" style="5" customWidth="1"/>
    <col min="2" max="2" width="9.1328125" style="5" customWidth="1"/>
    <col min="3" max="3" width="39.53125" style="1" customWidth="1"/>
    <col min="4" max="4" width="2.86328125" style="2" customWidth="1"/>
    <col min="5" max="5" width="17.1328125" style="3" customWidth="1"/>
    <col min="6" max="6" width="17.46484375" style="4" customWidth="1"/>
    <col min="7" max="9" width="9.1328125" style="5" customWidth="1"/>
    <col min="10" max="12" width="0" style="5" hidden="1" customWidth="1"/>
    <col min="13" max="16384" width="9.1328125" style="5" hidden="1"/>
  </cols>
  <sheetData>
    <row r="1" spans="2:12" ht="1.9" customHeight="1" x14ac:dyDescent="0.5">
      <c r="C1" s="23"/>
      <c r="D1" s="20"/>
      <c r="E1" s="21"/>
    </row>
    <row r="2" spans="2:12" ht="14.65" x14ac:dyDescent="0.5">
      <c r="C2" s="19" t="s">
        <v>38</v>
      </c>
      <c r="D2" s="22"/>
      <c r="E2" s="21" t="s">
        <v>11</v>
      </c>
    </row>
    <row r="3" spans="2:12" s="12" customFormat="1" x14ac:dyDescent="0.45">
      <c r="C3" s="8" t="s">
        <v>4</v>
      </c>
      <c r="D3" s="9"/>
      <c r="E3" s="10" t="s">
        <v>5</v>
      </c>
      <c r="F3" s="11"/>
    </row>
    <row r="4" spans="2:12" s="12" customFormat="1" x14ac:dyDescent="0.45">
      <c r="C4" s="24" t="s">
        <v>7</v>
      </c>
      <c r="D4" s="9"/>
      <c r="E4" s="18" t="s">
        <v>7</v>
      </c>
      <c r="F4" s="11"/>
    </row>
    <row r="5" spans="2:12" ht="6.75" customHeight="1" x14ac:dyDescent="0.35"/>
    <row r="6" spans="2:12" x14ac:dyDescent="0.35">
      <c r="C6" s="14" t="s">
        <v>56</v>
      </c>
      <c r="D6" s="15" t="s">
        <v>0</v>
      </c>
      <c r="E6" s="25" t="s">
        <v>57</v>
      </c>
      <c r="F6" s="13"/>
    </row>
    <row r="7" spans="2:12" x14ac:dyDescent="0.35">
      <c r="C7" s="14" t="s">
        <v>55</v>
      </c>
      <c r="D7" s="15" t="s">
        <v>0</v>
      </c>
      <c r="E7" s="25" t="s">
        <v>44</v>
      </c>
      <c r="F7" s="13"/>
    </row>
    <row r="8" spans="2:12" x14ac:dyDescent="0.35">
      <c r="C8" s="14" t="s">
        <v>54</v>
      </c>
      <c r="D8" s="15" t="s">
        <v>0</v>
      </c>
      <c r="E8" s="25" t="s">
        <v>53</v>
      </c>
      <c r="F8" s="13"/>
    </row>
    <row r="9" spans="2:12" x14ac:dyDescent="0.35">
      <c r="C9" s="14" t="s">
        <v>52</v>
      </c>
      <c r="D9" s="15" t="s">
        <v>0</v>
      </c>
      <c r="E9" s="25" t="s">
        <v>51</v>
      </c>
      <c r="F9" s="13"/>
    </row>
    <row r="10" spans="2:12" x14ac:dyDescent="0.35">
      <c r="C10" s="6" t="s">
        <v>41</v>
      </c>
      <c r="D10" s="7" t="s">
        <v>0</v>
      </c>
      <c r="E10" s="3" t="str" cm="1">
        <f t="array" ref="E10">Get_RExePath()</f>
        <v>C:\Program Files\R\R-4.2.1\bin\Rscript.exe</v>
      </c>
    </row>
    <row r="11" spans="2:12" x14ac:dyDescent="0.35">
      <c r="C11" s="6" t="s">
        <v>42</v>
      </c>
      <c r="D11" s="7" t="s">
        <v>0</v>
      </c>
      <c r="E11" s="3" t="str" cm="1">
        <f t="array" ref="E11">Get_LatestRVersion(Get_RVersions(E13))</f>
        <v>C:\Program Files\R\R-4.2.1</v>
      </c>
    </row>
    <row r="12" spans="2:12" x14ac:dyDescent="0.35">
      <c r="C12" s="6" t="s">
        <v>43</v>
      </c>
      <c r="D12" s="7" t="s">
        <v>0</v>
      </c>
      <c r="E12" s="3" t="str" cm="1">
        <f t="array" ref="E12">Get_RVersions(E13)</f>
        <v>C:\Program Files\R\R-4.2.1</v>
      </c>
    </row>
    <row r="13" spans="2:12" x14ac:dyDescent="0.35">
      <c r="C13" s="6" t="s">
        <v>40</v>
      </c>
      <c r="D13" s="7" t="s">
        <v>0</v>
      </c>
      <c r="E13" s="3" t="str" cm="1">
        <f t="array" ref="E13">Get_RFolder()</f>
        <v>C:\Program Files\R</v>
      </c>
    </row>
    <row r="14" spans="2:12" x14ac:dyDescent="0.35">
      <c r="C14" s="6"/>
      <c r="D14" s="7"/>
    </row>
    <row r="15" spans="2:12" x14ac:dyDescent="0.35">
      <c r="C15" s="14"/>
      <c r="D15" s="15"/>
      <c r="E15" s="16"/>
    </row>
    <row r="16" spans="2:12" x14ac:dyDescent="0.35">
      <c r="B16" s="27"/>
      <c r="C16" s="26"/>
      <c r="D16" s="14"/>
      <c r="E16" s="14"/>
      <c r="F16" s="14"/>
      <c r="G16" s="14"/>
      <c r="H16" s="14"/>
      <c r="I16" s="14"/>
      <c r="J16" s="14"/>
      <c r="K16" s="14"/>
      <c r="L16" s="14"/>
    </row>
    <row r="17" spans="3:12" x14ac:dyDescent="0.35">
      <c r="C17" s="14"/>
      <c r="D17" s="14"/>
      <c r="E17" s="14"/>
      <c r="F17" s="14"/>
      <c r="G17" s="14"/>
      <c r="H17" s="14"/>
      <c r="I17" s="14"/>
      <c r="J17" s="14"/>
      <c r="K17" s="14"/>
      <c r="L17" s="14"/>
    </row>
    <row r="18" spans="3:12" x14ac:dyDescent="0.35">
      <c r="C18" s="14"/>
      <c r="D18" s="14"/>
      <c r="E18" s="14"/>
      <c r="F18" s="14"/>
      <c r="G18" s="14"/>
      <c r="H18" s="14"/>
      <c r="I18" s="14"/>
      <c r="J18" s="14"/>
      <c r="K18" s="14"/>
      <c r="L18" s="14"/>
    </row>
    <row r="19" spans="3:12" x14ac:dyDescent="0.35">
      <c r="C19" s="14"/>
      <c r="D19" s="14"/>
      <c r="E19" s="14"/>
      <c r="F19" s="14"/>
      <c r="G19" s="14"/>
      <c r="H19" s="14"/>
      <c r="I19" s="14"/>
      <c r="J19" s="14"/>
      <c r="K19" s="14"/>
      <c r="L19" s="14"/>
    </row>
    <row r="20" spans="3:12" x14ac:dyDescent="0.35">
      <c r="C20" s="14"/>
      <c r="D20" s="14"/>
      <c r="E20" s="14"/>
      <c r="F20" s="14"/>
      <c r="G20" s="14"/>
      <c r="H20" s="14"/>
      <c r="I20" s="14"/>
      <c r="J20" s="14"/>
      <c r="K20" s="14"/>
      <c r="L20" s="14"/>
    </row>
    <row r="21" spans="3:12" x14ac:dyDescent="0.35">
      <c r="C21" s="14"/>
      <c r="D21" s="14"/>
      <c r="E21" s="14"/>
      <c r="F21" s="14"/>
      <c r="G21" s="14"/>
      <c r="H21" s="14"/>
      <c r="I21" s="14"/>
      <c r="J21" s="14"/>
      <c r="K21" s="14"/>
      <c r="L21" s="14"/>
    </row>
    <row r="22" spans="3:12" x14ac:dyDescent="0.35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35">
      <c r="C23" s="14"/>
      <c r="D23" s="14"/>
      <c r="E23" s="14"/>
      <c r="F23" s="14"/>
      <c r="G23" s="14"/>
      <c r="H23" s="14"/>
      <c r="I23" s="14"/>
      <c r="J23" s="14"/>
      <c r="K23" s="14"/>
      <c r="L23" s="14"/>
    </row>
    <row r="24" spans="3:12" x14ac:dyDescent="0.35">
      <c r="C24" s="14"/>
      <c r="D24" s="14"/>
      <c r="E24" s="14"/>
      <c r="F24" s="14"/>
      <c r="G24" s="14"/>
      <c r="H24" s="14"/>
      <c r="I24" s="14"/>
      <c r="J24" s="14"/>
      <c r="K24" s="14"/>
      <c r="L24" s="14"/>
    </row>
    <row r="25" spans="3:12" x14ac:dyDescent="0.35">
      <c r="C25" s="14"/>
      <c r="D25" s="14"/>
      <c r="E25" s="14"/>
      <c r="F25" s="14"/>
      <c r="G25" s="14"/>
      <c r="H25" s="14"/>
      <c r="I25" s="14"/>
      <c r="J25" s="14"/>
      <c r="K25" s="14"/>
      <c r="L25" s="14"/>
    </row>
    <row r="26" spans="3:12" x14ac:dyDescent="0.35">
      <c r="C26" s="14"/>
      <c r="D26" s="14"/>
      <c r="E26" s="14"/>
      <c r="F26" s="14"/>
      <c r="G26" s="14"/>
      <c r="H26" s="14"/>
      <c r="I26" s="14"/>
      <c r="J26" s="14"/>
      <c r="K26" s="14"/>
      <c r="L26" s="14"/>
    </row>
    <row r="27" spans="3:12" x14ac:dyDescent="0.35">
      <c r="C27" s="14"/>
      <c r="D27" s="14"/>
      <c r="E27" s="14"/>
      <c r="F27" s="14"/>
      <c r="G27" s="14"/>
      <c r="H27" s="14"/>
      <c r="I27" s="14"/>
      <c r="J27" s="14"/>
      <c r="K27" s="14"/>
      <c r="L27" s="14"/>
    </row>
    <row r="28" spans="3:12" x14ac:dyDescent="0.35">
      <c r="C28" s="14"/>
      <c r="D28" s="14"/>
      <c r="E28" s="14"/>
      <c r="F28" s="14"/>
      <c r="G28" s="14"/>
      <c r="H28" s="14"/>
      <c r="I28" s="14"/>
      <c r="J28" s="14"/>
      <c r="K28" s="14"/>
      <c r="L28" s="14"/>
    </row>
    <row r="29" spans="3:12" x14ac:dyDescent="0.35">
      <c r="C29" s="14"/>
      <c r="D29" s="14"/>
      <c r="E29" s="14"/>
      <c r="F29" s="14"/>
      <c r="G29" s="14"/>
      <c r="H29" s="14"/>
      <c r="I29" s="14"/>
      <c r="J29" s="14"/>
      <c r="K29" s="14"/>
      <c r="L29" s="14"/>
    </row>
    <row r="30" spans="3:12" x14ac:dyDescent="0.35">
      <c r="C30" s="14"/>
      <c r="D30" s="14"/>
      <c r="E30" s="14"/>
      <c r="F30" s="14"/>
      <c r="G30" s="14"/>
      <c r="H30" s="14"/>
      <c r="I30" s="14"/>
      <c r="J30" s="14"/>
      <c r="K30" s="14"/>
      <c r="L30" s="14"/>
    </row>
    <row r="31" spans="3:12" x14ac:dyDescent="0.35">
      <c r="C31" s="14"/>
      <c r="D31" s="14"/>
      <c r="E31" s="14"/>
      <c r="F31" s="14"/>
      <c r="G31" s="14"/>
      <c r="H31" s="14"/>
      <c r="I31" s="14"/>
      <c r="J31" s="14"/>
      <c r="K31" s="14"/>
      <c r="L31" s="14"/>
    </row>
    <row r="32" spans="3:12" x14ac:dyDescent="0.35">
      <c r="C32" s="14"/>
      <c r="D32" s="14"/>
      <c r="E32" s="14"/>
      <c r="F32" s="14"/>
      <c r="G32" s="14"/>
      <c r="H32" s="14"/>
      <c r="I32" s="14"/>
      <c r="J32" s="14"/>
      <c r="K32" s="14"/>
      <c r="L32" s="14"/>
    </row>
    <row r="33" spans="3:12" x14ac:dyDescent="0.35">
      <c r="C33" s="14"/>
      <c r="D33" s="14"/>
      <c r="E33" s="14"/>
      <c r="F33" s="14"/>
      <c r="G33" s="14"/>
      <c r="H33" s="14"/>
      <c r="I33" s="14"/>
      <c r="J33" s="14"/>
      <c r="K33" s="14"/>
      <c r="L33" s="14"/>
    </row>
    <row r="34" spans="3:12" ht="14.25" customHeight="1" x14ac:dyDescent="0.35">
      <c r="C34" s="14"/>
      <c r="D34" s="14"/>
      <c r="E34" s="14"/>
      <c r="F34" s="14"/>
      <c r="G34" s="14"/>
      <c r="H34" s="14"/>
      <c r="I34" s="14"/>
      <c r="J34" s="14"/>
      <c r="K34" s="14"/>
      <c r="L34" s="14"/>
    </row>
    <row r="35" spans="3:12" x14ac:dyDescent="0.35">
      <c r="C35" s="14"/>
      <c r="D35" s="14"/>
      <c r="E35" s="14"/>
      <c r="F35" s="14"/>
      <c r="G35" s="14"/>
      <c r="H35" s="14"/>
      <c r="I35" s="14"/>
      <c r="J35" s="14"/>
      <c r="K35" s="14"/>
      <c r="L35" s="14"/>
    </row>
    <row r="36" spans="3:12" x14ac:dyDescent="0.35">
      <c r="C36" s="14"/>
      <c r="D36" s="14"/>
      <c r="E36" s="14"/>
      <c r="F36" s="14"/>
      <c r="G36" s="14"/>
      <c r="H36" s="14"/>
      <c r="I36" s="14"/>
      <c r="J36" s="14"/>
      <c r="K36" s="14"/>
      <c r="L36" s="14"/>
    </row>
    <row r="37" spans="3:12" x14ac:dyDescent="0.35">
      <c r="C37" s="14"/>
      <c r="D37" s="14"/>
      <c r="E37" s="14"/>
      <c r="F37" s="14"/>
      <c r="G37" s="14"/>
      <c r="H37" s="14"/>
      <c r="I37" s="14"/>
      <c r="J37" s="14"/>
      <c r="K37" s="14"/>
      <c r="L37" s="14"/>
    </row>
    <row r="38" spans="3:12" x14ac:dyDescent="0.35">
      <c r="C38" s="14"/>
      <c r="D38" s="14"/>
      <c r="E38" s="14"/>
      <c r="F38" s="14"/>
      <c r="G38" s="14"/>
      <c r="H38" s="14"/>
      <c r="I38" s="14"/>
      <c r="J38" s="14"/>
      <c r="K38" s="14"/>
      <c r="L38" s="14"/>
    </row>
    <row r="39" spans="3:12" x14ac:dyDescent="0.35">
      <c r="C39" s="14"/>
      <c r="D39" s="14"/>
      <c r="E39" s="14"/>
      <c r="F39" s="14"/>
      <c r="G39" s="14"/>
      <c r="H39" s="14"/>
      <c r="I39" s="14"/>
      <c r="J39" s="14"/>
      <c r="K39" s="14"/>
      <c r="L39" s="1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zPortable_Functions</vt:lpstr>
      <vt:lpstr>zPortable_Subs</vt:lpstr>
      <vt:lpstr>zRun_R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Ulch</dc:creator>
  <cp:lastModifiedBy>Christopher Ulch</cp:lastModifiedBy>
  <dcterms:created xsi:type="dcterms:W3CDTF">2022-09-01T12:05:48Z</dcterms:created>
  <dcterms:modified xsi:type="dcterms:W3CDTF">2022-09-02T18:21:18Z</dcterms:modified>
</cp:coreProperties>
</file>